
<file path=[Content_Types].xml><?xml version="1.0" encoding="utf-8"?>
<Types xmlns="http://schemas.openxmlformats.org/package/2006/content-types">
  <Default Extension="png" ContentType="image/png"/>
  <Default Extension="jpg" ContentType="image/jp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6520" yWindow="315" windowWidth="17805" windowHeight="12000"/>
  </bookViews>
  <sheets>
    <sheet sheetId="2" name="成績外" state="visible" r:id="rId4"/>
    <sheet sheetId="1" name="成績內" state="visible" r:id="rId5"/>
  </sheets>
  <definedNames>
    <definedName name="green">'[2]成績單'!$L$2,'[2]成績單'!$P$2,'[2]成績單'!$S$3,'[2]成績單'!$V$3,'[2]成績單'!$AC$7,'[2]成績單'!$U$8:$U$11,'[2]成績單'!$D$20,'[2]成績單'!$D$22,'[2]成績單'!$L$27,'[2]成績單'!$Q$27:$R$27,'[2]成績單'!$H$28,'[2]成績單'!$L$30</definedName>
    <definedName name="_xlnm.Print_Area" localSheetId="0">'成績外'!$A1:$D10</definedName>
  </definedNames>
  <calcPr calcId="171027"/>
</workbook>
</file>

<file path=xl/sharedStrings.xml><?xml version="1.0" encoding="utf-8"?>
<sst xmlns="http://schemas.openxmlformats.org/spreadsheetml/2006/main" count="94" uniqueCount="78">
  <si>
    <t>หนังสือแจ้งผลการเรียน</t>
  </si>
  <si>
    <t xml:space="preserve">學業成績計算方式:
期中考 35 %
期末考 35 %
平時分 30 %</t>
  </si>
  <si>
    <t>學生成績通知書</t>
  </si>
  <si>
    <r>
      <t xml:space="preserve">โรงเรียนหัวหยุน
โดย
สมาคมยูนนาน จังหวัดเชียงราย
</t>
    </r>
    <r>
      <rPr>
        <b/>
        <color rgb="FF000000"/>
        <family val="3"/>
        <shadow/>
        <sz val="60"/>
        <rFont val="KaiTi"/>
      </rPr>
      <t xml:space="preserve">清萊雲南會館附屬
華雲學校</t>
    </r>
  </si>
  <si>
    <t xml:space="preserve">出缺席加扣分:
全勤   100 分（+3.00%）
曠課 -3.33 分（-0.10%）
遲到 -0.67 分（-0.02%）
事假 -1.67 分（-0.05%）
病假     0 分（-0.00%）
公假     0 分（-0.00%）</t>
  </si>
  <si>
    <t>要製作成</t>
  </si>
  <si>
    <t xml:space="preserve">特殊表現計算方式:
嘉獎 +1 分    警告 -1 分
小功 +3 分    小過 -3 分
大功 +9 分    大過 -9 分</t>
  </si>
  <si>
    <t>班級:</t>
  </si>
  <si>
    <t>高三忠班</t>
  </si>
  <si>
    <t>姓名:</t>
  </si>
  <si>
    <t>黃拉拉</t>
  </si>
  <si>
    <t xml:space="preserve">操行成績標準:
90分以上至100分者為優等
80分以上不滿90分者為甲等
70分以上不滿80分者為乙等
60分以上不滿70分者為丙等
不滿60分者為丁等（不及格）</t>
  </si>
  <si>
    <t>座號:</t>
  </si>
  <si>
    <t>99</t>
  </si>
  <si>
    <t>學號:</t>
  </si>
  <si>
    <t>泰國清萊雲南會館附屬華雲學校</t>
  </si>
  <si>
    <t>2862學年度</t>
  </si>
  <si>
    <t>下學期</t>
  </si>
  <si>
    <t>成績通知書</t>
  </si>
  <si>
    <t>公元</t>
  </si>
  <si>
    <t>學號：</t>
  </si>
  <si>
    <t>學生姓名：</t>
  </si>
  <si>
    <t>高三</t>
  </si>
  <si>
    <t>忠班</t>
  </si>
  <si>
    <t>99號</t>
  </si>
  <si>
    <t>時間</t>
  </si>
  <si>
    <t>上學期</t>
  </si>
  <si>
    <t>全學年</t>
  </si>
  <si>
    <t>出席記錄</t>
  </si>
  <si>
    <t>懲獎記錄</t>
  </si>
  <si>
    <t>科目</t>
  </si>
  <si>
    <t>比重</t>
  </si>
  <si>
    <t>期中</t>
  </si>
  <si>
    <t>期末</t>
  </si>
  <si>
    <t>平時</t>
  </si>
  <si>
    <t>總分</t>
  </si>
  <si>
    <t>平均</t>
  </si>
  <si>
    <t>項目</t>
  </si>
  <si>
    <t>合計</t>
  </si>
  <si>
    <t>曠課</t>
  </si>
  <si>
    <t>嘉獎</t>
  </si>
  <si>
    <t>國文</t>
  </si>
  <si>
    <t>遲到</t>
  </si>
  <si>
    <t>小功</t>
  </si>
  <si>
    <t>數學</t>
  </si>
  <si>
    <t>病假</t>
  </si>
  <si>
    <t>大功</t>
  </si>
  <si>
    <t>英文</t>
  </si>
  <si>
    <t>事假</t>
  </si>
  <si>
    <t>警告</t>
  </si>
  <si>
    <t>常識</t>
  </si>
  <si>
    <t>公假</t>
  </si>
  <si>
    <t>小過</t>
  </si>
  <si>
    <t>華測</t>
  </si>
  <si>
    <t>全勤</t>
  </si>
  <si>
    <t>大過</t>
  </si>
  <si>
    <t>電腦</t>
  </si>
  <si>
    <t>班級人數</t>
  </si>
  <si>
    <t>班級名次</t>
  </si>
  <si>
    <t>書法</t>
  </si>
  <si>
    <t>才藝</t>
  </si>
  <si>
    <t>升留級</t>
  </si>
  <si>
    <t>家長簽章及建議</t>
  </si>
  <si>
    <t>出缺席</t>
  </si>
  <si>
    <t>學業平均</t>
  </si>
  <si>
    <t>操行成績</t>
  </si>
  <si>
    <t>優</t>
  </si>
  <si>
    <t>乙</t>
  </si>
  <si>
    <t>禮貌</t>
  </si>
  <si>
    <t>導師簽章</t>
  </si>
  <si>
    <t>訓導簽章</t>
  </si>
  <si>
    <t>教務簽章</t>
  </si>
  <si>
    <t>校長簽章</t>
  </si>
  <si>
    <t>衣著</t>
  </si>
  <si>
    <t>服務</t>
  </si>
  <si>
    <t>紀律</t>
  </si>
  <si>
    <t>導師評語</t>
  </si>
  <si>
    <t>下學期容易分心。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</si>
</sst>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DBNum1][$-404]yyyy&quot;年&quot;m&quot;月&quot;d&quot;日&quot;"/>
    <numFmt numFmtId="165" formatCode="_-* #,##0_-;-* #,##0_-;_-* &quot;-&quot;??_-;_-@"/>
    <numFmt numFmtId="166" formatCode="_-* #,##0.00_-;-* #,##0.00_-;_-* &quot;-&quot;??_-;_-@"/>
  </numFmts>
  <fonts count="32" x14ac:knownFonts="1">
    <font>
      <color theme="1"/>
      <family val="2"/>
      <scheme val="minor"/>
      <sz val="11"/>
      <name val="Calibri"/>
    </font>
    <font>
      <color indexed="8"/>
      <family val="4"/>
      <sz val="11"/>
      <name val="DFKai-SB"/>
    </font>
    <font>
      <b/>
      <color indexed="8"/>
      <family val="3"/>
      <sz val="30"/>
      <name val="KaiTi"/>
    </font>
    <font>
      <b/>
      <charset val="222"/>
      <color rgb="FF000000"/>
      <family val="1"/>
      <shadow/>
      <sz val="72"/>
      <name val="Angsana New"/>
    </font>
    <font>
      <b/>
      <color rgb="FF000000"/>
      <family val="3"/>
      <sz val="30"/>
      <name val="KaiTi"/>
    </font>
    <font>
      <b/>
      <charset val="222"/>
      <color indexed="8"/>
      <family val="4"/>
      <sz val="11"/>
      <name val="DFKai-SB"/>
    </font>
    <font>
      <b/>
      <charset val="222"/>
      <color rgb="FF000000"/>
      <family val="3"/>
      <shadow/>
      <sz val="48"/>
      <name val="KaiTi"/>
    </font>
    <font>
      <b/>
      <charset val="222"/>
      <color rgb="FF000000"/>
      <family val="1"/>
      <shadow/>
      <sz val="60"/>
      <name val="Angsana New"/>
    </font>
    <font>
      <b/>
      <charset val="222"/>
      <color rgb="FF000000"/>
      <family val="3"/>
      <shadow/>
      <sz val="35"/>
      <name val="KaiTi"/>
    </font>
    <font>
      <b/>
      <color rgb="FF000000"/>
      <family val="3"/>
      <shadow/>
      <sz val="35"/>
      <name val="KaiTi"/>
    </font>
    <font>
      <b/>
      <charset val="222"/>
      <color rgb="FF000000"/>
      <family val="3"/>
      <shadow/>
      <sz val="60"/>
      <name val="KaiTi"/>
    </font>
    <font>
      <charset val="136"/>
      <color rgb="FF000000"/>
      <family val="1"/>
      <scheme val="minor"/>
      <sz val="10"/>
      <name val="Tahoma"/>
    </font>
    <font>
      <b/>
      <charset val="222"/>
      <color theme="1"/>
      <family val="3"/>
      <sz val="26"/>
      <name val="KaiTi"/>
    </font>
    <font>
      <b/>
      <charset val="134"/>
      <color rgb="FF0000FF"/>
      <family val="3"/>
      <sz val="24"/>
      <name val="KaiTi"/>
    </font>
    <font>
      <b/>
      <charset val="222"/>
      <color theme="1"/>
      <family val="3"/>
      <sz val="24"/>
      <name val="KaiTi"/>
    </font>
    <font>
      <charset val="222"/>
      <family val="2"/>
      <sz val="24"/>
      <name val="Arial"/>
    </font>
    <font>
      <b/>
      <charset val="134"/>
      <color theme="1"/>
      <family val="3"/>
      <sz val="16"/>
      <name val="KaiTi"/>
    </font>
    <font>
      <b/>
      <charset val="134"/>
      <color theme="1"/>
      <family val="3"/>
      <sz val="25"/>
      <name val="KaiTi"/>
    </font>
    <font>
      <b/>
      <charset val="134"/>
      <color theme="1"/>
      <family val="3"/>
      <sz val="22"/>
      <name val="KaiTi"/>
    </font>
    <font>
      <family val="2"/>
      <sz val="22"/>
      <name val="Arial"/>
    </font>
    <font>
      <b/>
      <charset val="134"/>
      <color rgb="FF000000"/>
      <family val="3"/>
      <sz val="22"/>
      <name val="KaiTi"/>
    </font>
    <font>
      <charset val="136"/>
      <color rgb="FF000000"/>
      <family val="1"/>
      <scheme val="minor"/>
      <sz val="22"/>
      <name val="Tahoma"/>
    </font>
    <font>
      <b/>
      <charset val="134"/>
      <color rgb="FF0000FF"/>
      <family val="3"/>
      <sz val="22"/>
      <name val="KaiTi"/>
    </font>
    <font>
      <b/>
      <charset val="134"/>
      <color rgb="FFFF0000"/>
      <family val="3"/>
      <sz val="22"/>
      <name val="KaiTi"/>
    </font>
    <font>
      <family val="2"/>
      <sz val="10"/>
      <name val="Arial"/>
    </font>
    <font>
      <charset val="134"/>
      <color theme="1"/>
      <family val="3"/>
      <sz val="22"/>
      <name val="KaiTi"/>
    </font>
    <font>
      <charset val="134"/>
      <color rgb="FF000000"/>
      <family val="3"/>
      <sz val="22"/>
      <name val="KaiTi"/>
    </font>
    <font>
      <b/>
      <charset val="134"/>
      <color rgb="FF0000FF"/>
      <family val="3"/>
      <sz val="25"/>
      <name val="KaiTi"/>
    </font>
    <font>
      <b/>
      <charset val="134"/>
      <color rgb="FF000000"/>
      <family val="3"/>
      <sz val="16"/>
      <name val="KaiTi"/>
    </font>
    <font>
      <color theme="1"/>
      <family val="3"/>
      <sz val="72"/>
      <name val="KaiTi"/>
    </font>
    <font>
      <charset val="134"/>
      <color theme="1"/>
      <family val="3"/>
      <sz val="72"/>
      <name val="KaiTi"/>
    </font>
    <font>
      <b/>
      <family val="3"/>
      <sz val="22"/>
      <name val="KaiT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rgb="FF92D050"/>
      </patternFill>
    </fill>
  </fills>
  <borders count="6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5" fillId="2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wrapText="1" shrinkToFi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2" fillId="2" borderId="0" xfId="0" applyFont="1" applyFill="1" applyAlignment="1">
      <alignment horizontal="center" wrapText="1" shrinkToFit="1"/>
    </xf>
    <xf numFmtId="0" fontId="5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vertical="center" shrinkToFit="1"/>
    </xf>
    <xf numFmtId="0" fontId="2" fillId="4" borderId="0" xfId="0" applyFont="1" applyFill="1" applyAlignment="1">
      <alignment vertical="center" shrinkToFit="1"/>
    </xf>
    <xf numFmtId="0" fontId="1" fillId="5" borderId="0" xfId="0" applyFont="1" applyFill="1" applyAlignment="1">
      <alignment horizontal="center" vertical="center" shrinkToFit="1"/>
    </xf>
    <xf numFmtId="0" fontId="11" fillId="0" borderId="0" xfId="0" applyFont="1"/>
    <xf numFmtId="0" fontId="12" fillId="6" borderId="4" xfId="0" applyFont="1" applyFill="1" applyBorder="1" applyAlignment="1">
      <alignment horizontal="center" vertical="center" shrinkToFit="1"/>
    </xf>
    <xf numFmtId="0" fontId="12" fillId="6" borderId="5" xfId="0" applyFont="1" applyFill="1" applyBorder="1" applyAlignment="1">
      <alignment horizontal="center" vertical="center" shrinkToFit="1"/>
    </xf>
    <xf numFmtId="0" fontId="13" fillId="7" borderId="5" xfId="0" applyFont="1" applyFill="1" applyBorder="1" applyAlignment="1">
      <alignment horizontal="right" vertical="center" wrapText="1"/>
    </xf>
    <xf numFmtId="0" fontId="13" fillId="7" borderId="5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center" vertical="center"/>
    </xf>
    <xf numFmtId="0" fontId="15" fillId="0" borderId="5" xfId="0" applyFont="1" applyBorder="1"/>
    <xf numFmtId="0" fontId="15" fillId="0" borderId="6" xfId="0" applyFont="1" applyBorder="1"/>
    <xf numFmtId="0" fontId="16" fillId="6" borderId="5" xfId="0" applyFont="1" applyFill="1" applyBorder="1" applyAlignment="1">
      <alignment vertical="center" shrinkToFit="1"/>
    </xf>
    <xf numFmtId="0" fontId="17" fillId="0" borderId="7" xfId="0" applyFont="1" applyBorder="1" applyAlignment="1">
      <alignment horizontal="center" vertical="center" shrinkToFit="1" textRotation="255"/>
    </xf>
    <xf numFmtId="0" fontId="18" fillId="0" borderId="8" xfId="0" applyFont="1" applyBorder="1" applyAlignment="1">
      <alignment horizontal="center" vertical="center" shrinkToFit="1"/>
    </xf>
    <xf numFmtId="0" fontId="19" fillId="0" borderId="9" xfId="0" applyFont="1" applyBorder="1"/>
    <xf numFmtId="0" fontId="20" fillId="8" borderId="10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0" fillId="2" borderId="0" xfId="0" applyFont="1" applyFill="1" applyAlignment="1">
      <alignment horizontal="center" vertical="center" shrinkToFit="1"/>
    </xf>
    <xf numFmtId="0" fontId="18" fillId="9" borderId="0" xfId="0" applyFont="1" applyFill="1" applyAlignment="1">
      <alignment horizontal="center" vertical="center" shrinkToFit="1"/>
    </xf>
    <xf numFmtId="0" fontId="22" fillId="8" borderId="10" xfId="0" applyFont="1" applyFill="1" applyBorder="1" applyAlignment="1">
      <alignment horizontal="center" vertical="center" wrapText="1"/>
    </xf>
    <xf numFmtId="0" fontId="23" fillId="7" borderId="11" xfId="0" applyFont="1" applyFill="1" applyBorder="1" applyAlignment="1">
      <alignment horizontal="left" vertical="center" wrapText="1"/>
    </xf>
    <xf numFmtId="0" fontId="16" fillId="6" borderId="0" xfId="0" applyFont="1" applyFill="1" applyAlignment="1">
      <alignment vertical="center" shrinkToFit="1"/>
    </xf>
    <xf numFmtId="0" fontId="24" fillId="0" borderId="12" xfId="0" applyFont="1" applyBorder="1"/>
    <xf numFmtId="0" fontId="18" fillId="6" borderId="13" xfId="0" applyFont="1" applyFill="1" applyBorder="1" applyAlignment="1">
      <alignment horizontal="center" vertical="center" shrinkToFit="1"/>
    </xf>
    <xf numFmtId="0" fontId="18" fillId="6" borderId="14" xfId="0" applyFont="1" applyFill="1" applyBorder="1" applyAlignment="1">
      <alignment horizontal="center" vertical="center" shrinkToFit="1"/>
    </xf>
    <xf numFmtId="0" fontId="18" fillId="6" borderId="15" xfId="0" applyFont="1" applyFill="1" applyBorder="1" applyAlignment="1">
      <alignment horizontal="center" vertical="center" shrinkToFit="1"/>
    </xf>
    <xf numFmtId="0" fontId="18" fillId="6" borderId="16" xfId="0" applyFont="1" applyFill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9" fillId="0" borderId="18" xfId="0" applyFont="1" applyBorder="1"/>
    <xf numFmtId="0" fontId="19" fillId="0" borderId="19" xfId="0" applyFont="1" applyBorder="1"/>
    <xf numFmtId="9" fontId="18" fillId="0" borderId="20" xfId="0" applyNumberFormat="1" applyFont="1" applyBorder="1" applyAlignment="1">
      <alignment horizontal="center" vertical="center" shrinkToFit="1"/>
    </xf>
    <xf numFmtId="9" fontId="18" fillId="0" borderId="21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shrinkToFit="1"/>
    </xf>
    <xf numFmtId="0" fontId="18" fillId="0" borderId="23" xfId="0" applyFont="1" applyBorder="1" applyAlignment="1">
      <alignment horizontal="center" vertical="center" shrinkToFit="1"/>
    </xf>
    <xf numFmtId="0" fontId="19" fillId="0" borderId="24" xfId="0" applyFont="1" applyBorder="1"/>
    <xf numFmtId="0" fontId="20" fillId="0" borderId="25" xfId="0" applyFont="1" applyBorder="1" applyAlignment="1">
      <alignment horizontal="center" vertical="center" shrinkToFit="1"/>
    </xf>
    <xf numFmtId="0" fontId="20" fillId="9" borderId="25" xfId="0" applyFont="1" applyFill="1" applyBorder="1" applyAlignment="1">
      <alignment horizontal="center" vertical="center" shrinkToFit="1"/>
    </xf>
    <xf numFmtId="0" fontId="18" fillId="9" borderId="25" xfId="0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9" fontId="25" fillId="9" borderId="25" xfId="0" applyNumberFormat="1" applyFont="1" applyFill="1" applyBorder="1" applyAlignment="1">
      <alignment horizontal="center" vertical="center" shrinkToFit="1"/>
    </xf>
    <xf numFmtId="0" fontId="19" fillId="0" borderId="26" xfId="0" applyFont="1" applyBorder="1"/>
    <xf numFmtId="0" fontId="19" fillId="0" borderId="27" xfId="0" applyFont="1" applyBorder="1"/>
    <xf numFmtId="0" fontId="25" fillId="9" borderId="25" xfId="0" applyFont="1" applyFill="1" applyBorder="1" applyAlignment="1">
      <alignment horizontal="center" vertical="center" shrinkToFit="1"/>
    </xf>
    <xf numFmtId="0" fontId="25" fillId="6" borderId="25" xfId="0" applyFont="1" applyFill="1" applyBorder="1" applyAlignment="1">
      <alignment horizontal="center" vertical="center" shrinkToFit="1"/>
    </xf>
    <xf numFmtId="0" fontId="18" fillId="6" borderId="28" xfId="0" applyFont="1" applyFill="1" applyBorder="1" applyAlignment="1">
      <alignment horizontal="center" vertical="center" shrinkToFit="1"/>
    </xf>
    <xf numFmtId="9" fontId="18" fillId="0" borderId="25" xfId="0" applyNumberFormat="1" applyFont="1" applyBorder="1" applyAlignment="1">
      <alignment horizontal="center" vertical="center" shrinkToFit="1"/>
    </xf>
    <xf numFmtId="1" fontId="25" fillId="9" borderId="25" xfId="0" applyNumberFormat="1" applyFont="1" applyFill="1" applyBorder="1" applyAlignment="1">
      <alignment horizontal="center" vertical="center" shrinkToFit="1"/>
    </xf>
    <xf numFmtId="1" fontId="25" fillId="6" borderId="25" xfId="0" applyNumberFormat="1" applyFont="1" applyFill="1" applyBorder="1" applyAlignment="1">
      <alignment horizontal="center" vertical="center" shrinkToFit="1"/>
    </xf>
    <xf numFmtId="2" fontId="26" fillId="0" borderId="17" xfId="0" applyNumberFormat="1" applyFont="1" applyBorder="1" applyAlignment="1">
      <alignment horizontal="center" vertical="center"/>
    </xf>
    <xf numFmtId="2" fontId="26" fillId="0" borderId="19" xfId="0" applyNumberFormat="1" applyFont="1" applyBorder="1" applyAlignment="1">
      <alignment horizontal="center" vertical="center"/>
    </xf>
    <xf numFmtId="164" fontId="27" fillId="10" borderId="29" xfId="0" applyNumberFormat="1" applyFont="1" applyFill="1" applyBorder="1" applyAlignment="1">
      <alignment horizontal="center" vertical="center" shrinkToFit="1" textRotation="255"/>
    </xf>
    <xf numFmtId="165" fontId="25" fillId="9" borderId="25" xfId="0" applyNumberFormat="1" applyFont="1" applyFill="1" applyBorder="1" applyAlignment="1">
      <alignment horizontal="center" vertical="center" shrinkToFit="1"/>
    </xf>
    <xf numFmtId="0" fontId="18" fillId="0" borderId="30" xfId="0" applyFont="1" applyBorder="1" applyAlignment="1">
      <alignment horizontal="center" vertical="center" shrinkToFit="1"/>
    </xf>
    <xf numFmtId="0" fontId="19" fillId="0" borderId="31" xfId="0" applyFont="1" applyBorder="1"/>
    <xf numFmtId="0" fontId="28" fillId="9" borderId="25" xfId="0" applyFont="1" applyFill="1" applyBorder="1" applyAlignment="1">
      <alignment vertical="center"/>
    </xf>
    <xf numFmtId="0" fontId="25" fillId="9" borderId="17" xfId="0" applyFont="1" applyFill="1" applyBorder="1" applyAlignment="1">
      <alignment horizontal="center" vertical="center" shrinkToFit="1"/>
    </xf>
    <xf numFmtId="0" fontId="28" fillId="0" borderId="25" xfId="0" applyFont="1" applyBorder="1" applyAlignment="1">
      <alignment vertical="center"/>
    </xf>
    <xf numFmtId="0" fontId="25" fillId="6" borderId="17" xfId="0" applyFont="1" applyFill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wrapText="1"/>
    </xf>
    <xf numFmtId="0" fontId="19" fillId="0" borderId="32" xfId="0" applyFont="1" applyBorder="1"/>
    <xf numFmtId="2" fontId="26" fillId="0" borderId="18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6" borderId="34" xfId="0" applyFont="1" applyFill="1" applyBorder="1" applyAlignment="1">
      <alignment horizontal="center" vertical="center" shrinkToFit="1"/>
    </xf>
    <xf numFmtId="1" fontId="25" fillId="9" borderId="35" xfId="0" applyNumberFormat="1" applyFont="1" applyFill="1" applyBorder="1" applyAlignment="1">
      <alignment horizontal="center" vertical="center" shrinkToFit="1"/>
    </xf>
    <xf numFmtId="1" fontId="25" fillId="9" borderId="30" xfId="0" applyNumberFormat="1" applyFont="1" applyFill="1" applyBorder="1" applyAlignment="1">
      <alignment horizontal="center" vertical="center" shrinkToFit="1"/>
    </xf>
    <xf numFmtId="1" fontId="25" fillId="6" borderId="35" xfId="0" applyNumberFormat="1" applyFont="1" applyFill="1" applyBorder="1" applyAlignment="1">
      <alignment horizontal="center" vertical="center" shrinkToFit="1"/>
    </xf>
    <xf numFmtId="166" fontId="26" fillId="0" borderId="36" xfId="0" applyNumberFormat="1" applyFont="1" applyBorder="1" applyAlignment="1">
      <alignment horizontal="center" vertical="center"/>
    </xf>
    <xf numFmtId="166" fontId="26" fillId="0" borderId="37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9" fillId="0" borderId="38" xfId="0" applyFont="1" applyBorder="1"/>
    <xf numFmtId="1" fontId="25" fillId="9" borderId="39" xfId="0" applyNumberFormat="1" applyFont="1" applyFill="1" applyBorder="1" applyAlignment="1">
      <alignment horizontal="center" vertical="center" shrinkToFit="1"/>
    </xf>
    <xf numFmtId="1" fontId="25" fillId="9" borderId="40" xfId="0" applyNumberFormat="1" applyFont="1" applyFill="1" applyBorder="1" applyAlignment="1">
      <alignment horizontal="center" vertical="center" shrinkToFit="1"/>
    </xf>
    <xf numFmtId="1" fontId="29" fillId="9" borderId="41" xfId="0" applyNumberFormat="1" applyFont="1" applyFill="1" applyBorder="1" applyAlignment="1">
      <alignment horizontal="center" vertical="center" shrinkToFit="1"/>
    </xf>
    <xf numFmtId="1" fontId="29" fillId="9" borderId="38" xfId="0" applyNumberFormat="1" applyFont="1" applyFill="1" applyBorder="1" applyAlignment="1">
      <alignment horizontal="center" vertical="center" shrinkToFit="1"/>
    </xf>
    <xf numFmtId="1" fontId="25" fillId="6" borderId="39" xfId="0" applyNumberFormat="1" applyFont="1" applyFill="1" applyBorder="1" applyAlignment="1">
      <alignment horizontal="center" vertical="center" shrinkToFit="1"/>
    </xf>
    <xf numFmtId="1" fontId="25" fillId="6" borderId="42" xfId="0" applyNumberFormat="1" applyFont="1" applyFill="1" applyBorder="1" applyAlignment="1">
      <alignment horizontal="center" vertical="center" shrinkToFit="1"/>
    </xf>
    <xf numFmtId="1" fontId="30" fillId="6" borderId="43" xfId="0" applyNumberFormat="1" applyFont="1" applyFill="1" applyBorder="1" applyAlignment="1">
      <alignment horizontal="center" vertical="center" shrinkToFit="1"/>
    </xf>
    <xf numFmtId="1" fontId="30" fillId="6" borderId="38" xfId="0" applyNumberFormat="1" applyFont="1" applyFill="1" applyBorder="1" applyAlignment="1">
      <alignment horizontal="center" vertical="center" shrinkToFit="1"/>
    </xf>
    <xf numFmtId="166" fontId="26" fillId="0" borderId="39" xfId="0" applyNumberFormat="1" applyFont="1" applyBorder="1" applyAlignment="1">
      <alignment horizontal="center" vertical="center"/>
    </xf>
    <xf numFmtId="166" fontId="26" fillId="0" borderId="4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shrinkToFit="1"/>
    </xf>
    <xf numFmtId="0" fontId="19" fillId="0" borderId="46" xfId="0" applyFont="1" applyBorder="1"/>
    <xf numFmtId="1" fontId="25" fillId="9" borderId="45" xfId="0" applyNumberFormat="1" applyFont="1" applyFill="1" applyBorder="1" applyAlignment="1">
      <alignment horizontal="center" vertical="center" shrinkToFit="1"/>
    </xf>
    <xf numFmtId="1" fontId="25" fillId="9" borderId="18" xfId="0" applyNumberFormat="1" applyFont="1" applyFill="1" applyBorder="1" applyAlignment="1">
      <alignment horizontal="center" vertical="center" shrinkToFit="1"/>
    </xf>
    <xf numFmtId="1" fontId="29" fillId="9" borderId="3" xfId="0" applyNumberFormat="1" applyFont="1" applyFill="1" applyBorder="1" applyAlignment="1">
      <alignment horizontal="center" vertical="center" shrinkToFit="1"/>
    </xf>
    <xf numFmtId="1" fontId="29" fillId="9" borderId="47" xfId="0" applyNumberFormat="1" applyFont="1" applyFill="1" applyBorder="1" applyAlignment="1">
      <alignment horizontal="center" vertical="center" shrinkToFit="1"/>
    </xf>
    <xf numFmtId="1" fontId="25" fillId="6" borderId="45" xfId="0" applyNumberFormat="1" applyFont="1" applyFill="1" applyBorder="1" applyAlignment="1">
      <alignment horizontal="center" vertical="center" shrinkToFit="1"/>
    </xf>
    <xf numFmtId="1" fontId="25" fillId="6" borderId="19" xfId="0" applyNumberFormat="1" applyFont="1" applyFill="1" applyBorder="1" applyAlignment="1">
      <alignment horizontal="center" vertical="center" shrinkToFit="1"/>
    </xf>
    <xf numFmtId="1" fontId="30" fillId="6" borderId="23" xfId="0" applyNumberFormat="1" applyFont="1" applyFill="1" applyBorder="1" applyAlignment="1">
      <alignment horizontal="center" vertical="center" shrinkToFit="1"/>
    </xf>
    <xf numFmtId="1" fontId="30" fillId="6" borderId="47" xfId="0" applyNumberFormat="1" applyFont="1" applyFill="1" applyBorder="1" applyAlignment="1">
      <alignment horizontal="center" vertical="center" shrinkToFit="1"/>
    </xf>
    <xf numFmtId="166" fontId="26" fillId="0" borderId="45" xfId="0" applyNumberFormat="1" applyFont="1" applyBorder="1" applyAlignment="1">
      <alignment horizontal="center" vertical="center"/>
    </xf>
    <xf numFmtId="166" fontId="26" fillId="0" borderId="4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21" fillId="0" borderId="0" xfId="0" applyFont="1"/>
    <xf numFmtId="0" fontId="19" fillId="0" borderId="0" xfId="0" applyFont="1"/>
    <xf numFmtId="0" fontId="20" fillId="0" borderId="14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0" fontId="18" fillId="0" borderId="48" xfId="0" applyFont="1" applyBorder="1" applyAlignment="1">
      <alignment horizontal="center" vertical="center" shrinkToFit="1"/>
    </xf>
    <xf numFmtId="0" fontId="19" fillId="0" borderId="49" xfId="0" applyFont="1" applyBorder="1"/>
    <xf numFmtId="1" fontId="25" fillId="9" borderId="48" xfId="0" applyNumberFormat="1" applyFont="1" applyFill="1" applyBorder="1" applyAlignment="1">
      <alignment horizontal="center" vertical="center" shrinkToFit="1"/>
    </xf>
    <xf numFmtId="1" fontId="25" fillId="9" borderId="37" xfId="0" applyNumberFormat="1" applyFont="1" applyFill="1" applyBorder="1" applyAlignment="1">
      <alignment horizontal="center" vertical="center" shrinkToFit="1"/>
    </xf>
    <xf numFmtId="1" fontId="29" fillId="9" borderId="50" xfId="0" applyNumberFormat="1" applyFont="1" applyFill="1" applyBorder="1" applyAlignment="1">
      <alignment horizontal="center" vertical="center" shrinkToFit="1"/>
    </xf>
    <xf numFmtId="1" fontId="29" fillId="9" borderId="51" xfId="0" applyNumberFormat="1" applyFont="1" applyFill="1" applyBorder="1" applyAlignment="1">
      <alignment horizontal="center" vertical="center" shrinkToFit="1"/>
    </xf>
    <xf numFmtId="1" fontId="25" fillId="6" borderId="48" xfId="0" applyNumberFormat="1" applyFont="1" applyFill="1" applyBorder="1" applyAlignment="1">
      <alignment horizontal="center" vertical="center" shrinkToFit="1"/>
    </xf>
    <xf numFmtId="1" fontId="25" fillId="6" borderId="52" xfId="0" applyNumberFormat="1" applyFont="1" applyFill="1" applyBorder="1" applyAlignment="1">
      <alignment horizontal="center" vertical="center" shrinkToFit="1"/>
    </xf>
    <xf numFmtId="1" fontId="30" fillId="6" borderId="53" xfId="0" applyNumberFormat="1" applyFont="1" applyFill="1" applyBorder="1" applyAlignment="1">
      <alignment horizontal="center" vertical="center" shrinkToFit="1"/>
    </xf>
    <xf numFmtId="1" fontId="30" fillId="6" borderId="51" xfId="0" applyNumberFormat="1" applyFont="1" applyFill="1" applyBorder="1" applyAlignment="1">
      <alignment horizontal="center" vertical="center" shrinkToFit="1"/>
    </xf>
    <xf numFmtId="166" fontId="26" fillId="0" borderId="48" xfId="0" applyNumberFormat="1" applyFont="1" applyBorder="1" applyAlignment="1">
      <alignment horizontal="center" vertical="center"/>
    </xf>
    <xf numFmtId="166" fontId="26" fillId="0" borderId="49" xfId="0" applyNumberFormat="1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4" fillId="0" borderId="60" xfId="0" applyFont="1" applyBorder="1"/>
  </cellXfs>
  <cellStyles count="1">
    <cellStyle name="Normal" xfId="0" builtinId="0"/>
  </cellStyles>
  <dxfs count="12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ill>
        <patternFill patternType="solid">
          <fgColor rgb="FFC00000"/>
          <bgColor rgb="FFC000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00000"/>
          <bgColor rgb="FFC000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00000"/>
          <bgColor rgb="FFC000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C00000"/>
          <bgColor rgb="FFC00000"/>
        </patternFill>
      </fill>
    </dxf>
    <dxf>
      <font>
        <color rgb="FFFF000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2405062</xdr:colOff>
      <xdr:row>0</xdr:row>
      <xdr:rowOff>19729</xdr:rowOff>
    </xdr:from>
    <xdr:ext cx="2643187" cy="268104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55048</xdr:colOff>
      <xdr:row>2</xdr:row>
      <xdr:rowOff>0</xdr:rowOff>
    </xdr:from>
    <xdr:to>
      <xdr:col>2</xdr:col>
      <xdr:colOff>81132</xdr:colOff>
      <xdr:row>5</xdr:row>
      <xdr:rowOff>833437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18</xdr:col>
      <xdr:colOff>196104</xdr:colOff>
      <xdr:row>0</xdr:row>
      <xdr:rowOff>54428</xdr:rowOff>
    </xdr:from>
    <xdr:ext cx="1178218" cy="1115786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U25"/>
  <sheetViews>
    <sheetView workbookViewId="0" zoomScale="70" zoomScaleNormal="70">
      <selection activeCell="M13" sqref="M13"/>
    </sheetView>
  </sheetViews>
  <sheetFormatPr defaultRowHeight="12.75" outlineLevelRow="0" outlineLevelCol="0" x14ac:dyDescent="0" defaultColWidth="14.7109375" customHeight="1"/>
  <cols>
    <col min="1" max="1" width="10.85546875" style="21" customWidth="1"/>
    <col min="2" max="2" width="8.7109375" style="21" customWidth="1"/>
    <col min="3" max="10" width="10.28515625" style="21" customWidth="1"/>
    <col min="11" max="12" width="8.85546875" style="21" customWidth="1"/>
    <col min="13" max="20" width="11.85546875" style="21" customWidth="1"/>
    <col min="21" max="21" width="7.28515625" style="21" customWidth="1"/>
    <col min="22" max="16384" width="14.7109375" style="21" customWidth="1"/>
  </cols>
  <sheetData>
    <row r="1" ht="47.25" customHeight="1" spans="1:21" x14ac:dyDescent="0.25">
      <c r="A1" s="22" t="s">
        <v>15</v>
      </c>
      <c r="B1" s="23"/>
      <c r="C1" s="23"/>
      <c r="D1" s="23"/>
      <c r="E1" s="23"/>
      <c r="F1" s="23"/>
      <c r="G1" s="23"/>
      <c r="H1" s="23"/>
      <c r="I1" s="23"/>
      <c r="J1" s="23"/>
      <c r="K1" s="24" t="s">
        <v>16</v>
      </c>
      <c r="L1" s="24"/>
      <c r="M1" s="24"/>
      <c r="N1" s="25" t="s">
        <v>17</v>
      </c>
      <c r="O1" s="25"/>
      <c r="P1" s="26" t="s">
        <v>18</v>
      </c>
      <c r="Q1" s="27"/>
      <c r="R1" s="28"/>
      <c r="S1" s="29"/>
      <c r="T1" s="29"/>
      <c r="U1" s="30" t="s">
        <v>19</v>
      </c>
    </row>
    <row r="2" ht="47.25" customHeight="1" spans="1:21" x14ac:dyDescent="0.25">
      <c r="A2" s="31" t="s">
        <v>20</v>
      </c>
      <c r="B2" s="32"/>
      <c r="C2" s="33">
        <v>2862</v>
      </c>
      <c r="D2" s="33"/>
      <c r="E2" s="34"/>
      <c r="F2" s="34"/>
      <c r="G2" s="34"/>
      <c r="H2" s="34"/>
      <c r="I2" s="34"/>
      <c r="J2" s="34"/>
      <c r="K2" s="35" t="s">
        <v>21</v>
      </c>
      <c r="L2" s="35"/>
      <c r="M2" s="35"/>
      <c r="N2" s="36" t="s">
        <v>10</v>
      </c>
      <c r="O2" s="36"/>
      <c r="P2" s="37" t="s">
        <v>22</v>
      </c>
      <c r="Q2" s="37" t="s">
        <v>23</v>
      </c>
      <c r="R2" s="38" t="s">
        <v>24</v>
      </c>
      <c r="S2" s="39"/>
      <c r="T2" s="39"/>
      <c r="U2" s="40"/>
    </row>
    <row r="3" ht="27" customHeight="1" spans="1:21" s="21" customFormat="1" x14ac:dyDescent="0.25">
      <c r="A3" s="41" t="s">
        <v>25</v>
      </c>
      <c r="B3" s="42"/>
      <c r="C3" s="43" t="s">
        <v>26</v>
      </c>
      <c r="D3" s="44"/>
      <c r="E3" s="44"/>
      <c r="F3" s="42"/>
      <c r="G3" s="43" t="s">
        <v>17</v>
      </c>
      <c r="H3" s="44"/>
      <c r="I3" s="44"/>
      <c r="J3" s="42"/>
      <c r="K3" s="43" t="s">
        <v>27</v>
      </c>
      <c r="L3" s="42"/>
      <c r="M3" s="45" t="s">
        <v>28</v>
      </c>
      <c r="N3" s="46"/>
      <c r="O3" s="46"/>
      <c r="P3" s="47"/>
      <c r="Q3" s="45" t="s">
        <v>29</v>
      </c>
      <c r="R3" s="46"/>
      <c r="S3" s="46"/>
      <c r="T3" s="46"/>
      <c r="U3" s="40"/>
    </row>
    <row r="4" ht="27" customHeight="1" spans="1:21" x14ac:dyDescent="0.25">
      <c r="A4" s="48" t="s">
        <v>30</v>
      </c>
      <c r="B4" s="49" t="s">
        <v>31</v>
      </c>
      <c r="C4" s="50" t="s">
        <v>32</v>
      </c>
      <c r="D4" s="50" t="s">
        <v>33</v>
      </c>
      <c r="E4" s="50" t="s">
        <v>34</v>
      </c>
      <c r="F4" s="50" t="s">
        <v>35</v>
      </c>
      <c r="G4" s="50" t="s">
        <v>32</v>
      </c>
      <c r="H4" s="50" t="s">
        <v>33</v>
      </c>
      <c r="I4" s="50" t="s">
        <v>34</v>
      </c>
      <c r="J4" s="50" t="s">
        <v>35</v>
      </c>
      <c r="K4" s="51" t="s">
        <v>36</v>
      </c>
      <c r="L4" s="52"/>
      <c r="M4" s="53" t="s">
        <v>37</v>
      </c>
      <c r="N4" s="54" t="s">
        <v>26</v>
      </c>
      <c r="O4" s="53" t="s">
        <v>17</v>
      </c>
      <c r="P4" s="53" t="s">
        <v>38</v>
      </c>
      <c r="Q4" s="53" t="s">
        <v>37</v>
      </c>
      <c r="R4" s="55" t="s">
        <v>26</v>
      </c>
      <c r="S4" s="56" t="s">
        <v>17</v>
      </c>
      <c r="T4" s="57" t="s">
        <v>38</v>
      </c>
      <c r="U4" s="40"/>
    </row>
    <row r="5" ht="27.75" customHeight="1" spans="1:21" x14ac:dyDescent="0.25">
      <c r="A5" s="48"/>
      <c r="B5" s="49"/>
      <c r="C5" s="58">
        <v>0.35</v>
      </c>
      <c r="D5" s="58">
        <v>0.35</v>
      </c>
      <c r="E5" s="58">
        <v>0.3</v>
      </c>
      <c r="F5" s="58">
        <v>1</v>
      </c>
      <c r="G5" s="58">
        <v>0.35</v>
      </c>
      <c r="H5" s="58">
        <v>0.35</v>
      </c>
      <c r="I5" s="58">
        <v>0.3</v>
      </c>
      <c r="J5" s="58">
        <v>1</v>
      </c>
      <c r="K5" s="59"/>
      <c r="L5" s="60"/>
      <c r="M5" s="56" t="s">
        <v>39</v>
      </c>
      <c r="N5" s="61">
        <v>1</v>
      </c>
      <c r="O5" s="62"/>
      <c r="P5" s="53">
        <f>N5*O5</f>
        <v>0</v>
      </c>
      <c r="Q5" s="45" t="s">
        <v>40</v>
      </c>
      <c r="R5" s="61">
        <v>1</v>
      </c>
      <c r="S5" s="62"/>
      <c r="T5" s="57">
        <f t="shared" ref="T5:T10" si="0">IF(S5="-","-",SUM(R5:S5))</f>
        <v>1</v>
      </c>
      <c r="U5" s="40"/>
    </row>
    <row r="6" ht="27" customHeight="1" spans="1:21" x14ac:dyDescent="0.25">
      <c r="A6" s="63" t="s">
        <v>41</v>
      </c>
      <c r="B6" s="64">
        <v>0.35</v>
      </c>
      <c r="C6" s="65">
        <v>88</v>
      </c>
      <c r="D6" s="65">
        <v>88</v>
      </c>
      <c r="E6" s="65">
        <v>88</v>
      </c>
      <c r="F6" s="65">
        <f t="shared" ref="F6:F13" si="1">C6*$C$5+D6*$D$5+E6*$E$5</f>
        <v>88</v>
      </c>
      <c r="G6" s="66">
        <v>88</v>
      </c>
      <c r="H6" s="66">
        <v>50</v>
      </c>
      <c r="I6" s="66">
        <v>88</v>
      </c>
      <c r="J6" s="66">
        <f t="shared" ref="J6:J13" si="2">G6*$C$5+H6*$D$5+I6*$E$5</f>
        <v>74.69999999999999</v>
      </c>
      <c r="K6" s="67">
        <f t="shared" ref="K6:K11" si="3">IF($J6="","",AVERAGE($F6,$J6))</f>
        <v>81.35</v>
      </c>
      <c r="L6" s="68"/>
      <c r="M6" s="56" t="s">
        <v>42</v>
      </c>
      <c r="N6" s="61">
        <v>5</v>
      </c>
      <c r="O6" s="62"/>
      <c r="P6" s="53">
        <f t="shared" ref="P6:P8" si="4">N6*O6</f>
        <v>0</v>
      </c>
      <c r="Q6" s="45" t="s">
        <v>43</v>
      </c>
      <c r="R6" s="61">
        <v>2</v>
      </c>
      <c r="S6" s="62"/>
      <c r="T6" s="57">
        <f t="shared" si="0"/>
        <v>2</v>
      </c>
      <c r="U6" s="69">
        <f>NOW()</f>
        <v>46264.41641215278</v>
      </c>
    </row>
    <row r="7" ht="27" customHeight="1" spans="1:21" x14ac:dyDescent="0.25">
      <c r="A7" s="63" t="s">
        <v>44</v>
      </c>
      <c r="B7" s="64">
        <v>0.2</v>
      </c>
      <c r="C7" s="65">
        <v>75</v>
      </c>
      <c r="D7" s="65">
        <v>75</v>
      </c>
      <c r="E7" s="65">
        <v>75</v>
      </c>
      <c r="F7" s="65">
        <f t="shared" si="1"/>
        <v>75</v>
      </c>
      <c r="G7" s="66">
        <v>75</v>
      </c>
      <c r="H7" s="66">
        <v>75</v>
      </c>
      <c r="I7" s="66">
        <v>75</v>
      </c>
      <c r="J7" s="66">
        <f t="shared" si="2"/>
        <v>75</v>
      </c>
      <c r="K7" s="67">
        <f t="shared" si="3"/>
        <v>75</v>
      </c>
      <c r="L7" s="68"/>
      <c r="M7" s="56" t="s">
        <v>45</v>
      </c>
      <c r="N7" s="61">
        <v>14</v>
      </c>
      <c r="O7" s="62"/>
      <c r="P7" s="53">
        <f t="shared" si="4"/>
        <v>0</v>
      </c>
      <c r="Q7" s="45" t="s">
        <v>46</v>
      </c>
      <c r="R7" s="61">
        <v>3</v>
      </c>
      <c r="S7" s="62"/>
      <c r="T7" s="57">
        <f t="shared" si="0"/>
        <v>3</v>
      </c>
      <c r="U7" s="40"/>
    </row>
    <row r="8" ht="27" customHeight="1" spans="1:21" x14ac:dyDescent="0.25">
      <c r="A8" s="63" t="s">
        <v>47</v>
      </c>
      <c r="B8" s="64">
        <v>0.15</v>
      </c>
      <c r="C8" s="65">
        <v>84</v>
      </c>
      <c r="D8" s="65">
        <v>84</v>
      </c>
      <c r="E8" s="65">
        <v>84</v>
      </c>
      <c r="F8" s="65">
        <f t="shared" si="1"/>
        <v>84</v>
      </c>
      <c r="G8" s="66">
        <v>84</v>
      </c>
      <c r="H8" s="66">
        <v>84</v>
      </c>
      <c r="I8" s="66">
        <v>84</v>
      </c>
      <c r="J8" s="66">
        <f t="shared" si="2"/>
        <v>84</v>
      </c>
      <c r="K8" s="67">
        <f t="shared" si="3"/>
        <v>84</v>
      </c>
      <c r="L8" s="68"/>
      <c r="M8" s="56" t="s">
        <v>48</v>
      </c>
      <c r="N8" s="61">
        <v>22</v>
      </c>
      <c r="O8" s="62"/>
      <c r="P8" s="53">
        <f t="shared" si="4"/>
        <v>0</v>
      </c>
      <c r="Q8" s="45" t="s">
        <v>49</v>
      </c>
      <c r="R8" s="61"/>
      <c r="S8" s="62">
        <v>2</v>
      </c>
      <c r="T8" s="57">
        <f t="shared" si="0"/>
        <v>2</v>
      </c>
      <c r="U8" s="40"/>
    </row>
    <row r="9" ht="27" customHeight="1" spans="1:21" x14ac:dyDescent="0.25">
      <c r="A9" s="63" t="s">
        <v>50</v>
      </c>
      <c r="B9" s="64">
        <v>0.09</v>
      </c>
      <c r="C9" s="65">
        <v>51.5</v>
      </c>
      <c r="D9" s="65">
        <v>51.5</v>
      </c>
      <c r="E9" s="65">
        <v>51.5</v>
      </c>
      <c r="F9" s="65">
        <f t="shared" si="1"/>
        <v>51.5</v>
      </c>
      <c r="G9" s="66">
        <v>60</v>
      </c>
      <c r="H9" s="66">
        <v>51.5</v>
      </c>
      <c r="I9" s="66">
        <v>80</v>
      </c>
      <c r="J9" s="66">
        <f t="shared" si="2"/>
        <v>63.025</v>
      </c>
      <c r="K9" s="67">
        <f t="shared" si="3"/>
        <v>57.2625</v>
      </c>
      <c r="L9" s="68"/>
      <c r="M9" s="56" t="s">
        <v>51</v>
      </c>
      <c r="N9" s="61"/>
      <c r="O9" s="62">
        <v>1</v>
      </c>
      <c r="P9" s="53">
        <f t="shared" ref="P9" si="5">IF(O9="-","-",SUM(N9:O9))</f>
        <v>1</v>
      </c>
      <c r="Q9" s="45" t="s">
        <v>52</v>
      </c>
      <c r="R9" s="61"/>
      <c r="S9" s="62">
        <v>1</v>
      </c>
      <c r="T9" s="57">
        <f t="shared" si="0"/>
        <v>1</v>
      </c>
      <c r="U9" s="40"/>
    </row>
    <row r="10" ht="27" customHeight="1" spans="1:21" x14ac:dyDescent="0.25">
      <c r="A10" s="63" t="s">
        <v>53</v>
      </c>
      <c r="B10" s="64">
        <v>0.05</v>
      </c>
      <c r="C10" s="65">
        <v>57</v>
      </c>
      <c r="D10" s="65">
        <v>57</v>
      </c>
      <c r="E10" s="65">
        <v>57</v>
      </c>
      <c r="F10" s="65">
        <f t="shared" si="1"/>
        <v>57</v>
      </c>
      <c r="G10" s="66">
        <v>90</v>
      </c>
      <c r="H10" s="66">
        <v>57</v>
      </c>
      <c r="I10" s="66">
        <v>70</v>
      </c>
      <c r="J10" s="66">
        <f t="shared" si="2"/>
        <v>72.44999999999999</v>
      </c>
      <c r="K10" s="67">
        <f t="shared" si="3"/>
        <v>64.725</v>
      </c>
      <c r="L10" s="68"/>
      <c r="M10" s="56" t="s">
        <v>54</v>
      </c>
      <c r="N10" s="70">
        <f>IF(N5+N6+N8=0,"是","")</f>
      </c>
      <c r="O10" s="70" t="str">
        <f>IF(N1="上學期","",IF(O5+O6+O8=0,"是",""))</f>
        <v>是</v>
      </c>
      <c r="P10" s="53">
        <f>COUNTIF(N10:O10,"是")</f>
        <v>1</v>
      </c>
      <c r="Q10" s="45" t="s">
        <v>55</v>
      </c>
      <c r="R10" s="61"/>
      <c r="S10" s="62"/>
      <c r="T10" s="57">
        <f t="shared" si="0"/>
        <v>0</v>
      </c>
      <c r="U10" s="40"/>
    </row>
    <row r="11" ht="27" customHeight="1" spans="1:21" x14ac:dyDescent="0.25">
      <c r="A11" s="63" t="s">
        <v>56</v>
      </c>
      <c r="B11" s="64">
        <v>0.05</v>
      </c>
      <c r="C11" s="65">
        <v>99</v>
      </c>
      <c r="D11" s="65">
        <v>99</v>
      </c>
      <c r="E11" s="65">
        <v>99</v>
      </c>
      <c r="F11" s="65">
        <f t="shared" si="1"/>
        <v>99</v>
      </c>
      <c r="G11" s="66">
        <v>99</v>
      </c>
      <c r="H11" s="66">
        <v>99</v>
      </c>
      <c r="I11" s="66">
        <v>99</v>
      </c>
      <c r="J11" s="66">
        <f t="shared" si="2"/>
        <v>99</v>
      </c>
      <c r="K11" s="67">
        <f t="shared" si="3"/>
        <v>99</v>
      </c>
      <c r="L11" s="68"/>
      <c r="M11" s="71" t="s">
        <v>57</v>
      </c>
      <c r="N11" s="72"/>
      <c r="O11" s="73" t="s">
        <v>26</v>
      </c>
      <c r="P11" s="61">
        <v>20</v>
      </c>
      <c r="Q11" s="71" t="s">
        <v>58</v>
      </c>
      <c r="R11" s="72"/>
      <c r="S11" s="73" t="s">
        <v>26</v>
      </c>
      <c r="T11" s="74">
        <v>1</v>
      </c>
      <c r="U11" s="40"/>
    </row>
    <row r="12" ht="27" customHeight="1" spans="1:21" x14ac:dyDescent="0.25">
      <c r="A12" s="63" t="s">
        <v>59</v>
      </c>
      <c r="B12" s="64">
        <v>0.04</v>
      </c>
      <c r="C12" s="65">
        <v>68</v>
      </c>
      <c r="D12" s="65">
        <v>68</v>
      </c>
      <c r="E12" s="65">
        <v>68</v>
      </c>
      <c r="F12" s="65">
        <f t="shared" si="1"/>
        <v>68</v>
      </c>
      <c r="G12" s="66">
        <v>68</v>
      </c>
      <c r="H12" s="66">
        <v>68</v>
      </c>
      <c r="I12" s="66">
        <v>68</v>
      </c>
      <c r="J12" s="66">
        <f t="shared" si="2"/>
        <v>68</v>
      </c>
      <c r="K12" s="67">
        <f t="shared" ref="K12:K16" si="6">IF($J12="","",AVERAGE($F12,$J12))</f>
        <v>68</v>
      </c>
      <c r="L12" s="68"/>
      <c r="M12" s="59"/>
      <c r="N12" s="60"/>
      <c r="O12" s="75" t="s">
        <v>17</v>
      </c>
      <c r="P12" s="62">
        <v>19</v>
      </c>
      <c r="Q12" s="59"/>
      <c r="R12" s="60"/>
      <c r="S12" s="75" t="s">
        <v>17</v>
      </c>
      <c r="T12" s="76">
        <v>1</v>
      </c>
      <c r="U12" s="40"/>
    </row>
    <row r="13" ht="27" customHeight="1" spans="1:21" x14ac:dyDescent="0.25">
      <c r="A13" s="63" t="s">
        <v>60</v>
      </c>
      <c r="B13" s="64">
        <v>0.04</v>
      </c>
      <c r="C13" s="65">
        <v>77</v>
      </c>
      <c r="D13" s="65">
        <v>80</v>
      </c>
      <c r="E13" s="65">
        <v>90</v>
      </c>
      <c r="F13" s="65">
        <f t="shared" si="1"/>
        <v>81.95</v>
      </c>
      <c r="G13" s="66">
        <v>60</v>
      </c>
      <c r="H13" s="66">
        <v>70</v>
      </c>
      <c r="I13" s="66">
        <v>70</v>
      </c>
      <c r="J13" s="66">
        <f t="shared" si="2"/>
        <v>66.5</v>
      </c>
      <c r="K13" s="67">
        <f t="shared" si="6"/>
        <v>74.225</v>
      </c>
      <c r="L13" s="68"/>
      <c r="M13" s="77" t="s">
        <v>61</v>
      </c>
      <c r="N13" s="72"/>
      <c r="O13" s="77" t="s">
        <v>62</v>
      </c>
      <c r="P13" s="78"/>
      <c r="Q13" s="78"/>
      <c r="R13" s="78"/>
      <c r="S13" s="78"/>
      <c r="T13" s="78"/>
      <c r="U13" s="40"/>
    </row>
    <row r="14" ht="27" customHeight="1" spans="1:21" s="21" customFormat="1" x14ac:dyDescent="0.25">
      <c r="A14" s="63"/>
      <c r="B14" s="64"/>
      <c r="C14" s="65"/>
      <c r="D14" s="65"/>
      <c r="E14" s="65"/>
      <c r="F14" s="65">
        <f>C14*$C$5+D14*$D$5+E14*$E$5</f>
      </c>
      <c r="G14" s="66"/>
      <c r="H14" s="66"/>
      <c r="I14" s="66"/>
      <c r="J14" s="66">
        <f>G14*$C$5+H14*$D$5+I14*$E$5</f>
      </c>
      <c r="K14" s="67">
        <f t="shared" si="6"/>
      </c>
      <c r="L14" s="79"/>
      <c r="M14" s="80" t="str">
        <f>IF(N1="上學期","-",IF(K17&gt;=60,"升級","留級"))</f>
        <v>升級</v>
      </c>
      <c r="N14" s="80"/>
      <c r="O14" s="80"/>
      <c r="P14" s="80"/>
      <c r="Q14" s="80"/>
      <c r="R14" s="80"/>
      <c r="S14" s="80"/>
      <c r="T14" s="81"/>
      <c r="U14" s="40"/>
    </row>
    <row r="15" ht="27" customHeight="1" spans="1:21" x14ac:dyDescent="0.25">
      <c r="A15" s="63"/>
      <c r="B15" s="64">
        <v>0</v>
      </c>
      <c r="C15" s="65"/>
      <c r="D15" s="65"/>
      <c r="E15" s="65"/>
      <c r="F15" s="65">
        <f>C15*$C$5+D15*$D$5+E15*$E$5</f>
      </c>
      <c r="G15" s="66"/>
      <c r="H15" s="66"/>
      <c r="I15" s="66"/>
      <c r="J15" s="66">
        <f>G15*$C$5+H15*$D$5+I15*$E$5</f>
      </c>
      <c r="K15" s="67">
        <f t="shared" si="6"/>
      </c>
      <c r="L15" s="79"/>
      <c r="M15" s="80"/>
      <c r="N15" s="80"/>
      <c r="O15" s="80"/>
      <c r="P15" s="80"/>
      <c r="Q15" s="80"/>
      <c r="R15" s="80"/>
      <c r="S15" s="80"/>
      <c r="T15" s="81"/>
      <c r="U15" s="40"/>
    </row>
    <row r="16" ht="27" customHeight="1" spans="1:21" x14ac:dyDescent="0.25">
      <c r="A16" s="63" t="s">
        <v>63</v>
      </c>
      <c r="B16" s="64">
        <v>0.03</v>
      </c>
      <c r="C16" s="65">
        <v>-42.82</v>
      </c>
      <c r="D16" s="65">
        <v>-42.82</v>
      </c>
      <c r="E16" s="65">
        <v>-42.82</v>
      </c>
      <c r="F16" s="65">
        <v>-42.82</v>
      </c>
      <c r="G16" s="66">
        <v>100</v>
      </c>
      <c r="H16" s="66">
        <v>100</v>
      </c>
      <c r="I16" s="66">
        <v>100</v>
      </c>
      <c r="J16" s="66">
        <v>100</v>
      </c>
      <c r="K16" s="67">
        <f t="shared" si="6"/>
        <v>28.59</v>
      </c>
      <c r="L16" s="79"/>
      <c r="M16" s="80"/>
      <c r="N16" s="80"/>
      <c r="O16" s="80"/>
      <c r="P16" s="80"/>
      <c r="Q16" s="80"/>
      <c r="R16" s="80"/>
      <c r="S16" s="80"/>
      <c r="T16" s="81"/>
      <c r="U16" s="40"/>
    </row>
    <row r="17" ht="27.75" customHeight="1" spans="1:21" x14ac:dyDescent="0.25">
      <c r="A17" s="82" t="s">
        <v>64</v>
      </c>
      <c r="B17" s="72"/>
      <c r="C17" s="83">
        <f>C6*$B$6+C7*$B$7+C8*$B$8+C9*$B$9+C10*$B$10+C11*$B$11+C12*$B$12+C13*$B$13+C14*$B$14+C15*$B$15+C16*$B$16</f>
      </c>
      <c r="D17" s="83">
        <f>D6*$B$6+D7*$B$7+D8*$B$8+D9*$B$9+D10*$B$10+D11*$B$11+D12*$B$12+D13*$B$13+D14*$B$14+D15*$B$15+D16*$B$16</f>
      </c>
      <c r="E17" s="83">
        <f>E6*$B$6+E7*$B$7+E8*$B$8+E9*$B$9+E10*$B$10+E11*$B$11+E12*$B$12+E13*$B$13+E14*$B$14+E15*$B$15+E16*$B$16</f>
      </c>
      <c r="F17" s="84">
        <f>C17*$C$5+D17*$D$5+E17*$E$5</f>
        <v>75.54839999999999</v>
      </c>
      <c r="G17" s="85">
        <f>G6*$B$6+G7*$B$7+G8*$B$8+G9*$B$9+G10*$B$10+G11*$B$11+G12*$B$12+G13*$B$13+G14*$B$14+G15*$B$15+G16*$B$16</f>
      </c>
      <c r="H17" s="85">
        <f>H6*$B$6+H7*$B$7+H8*$B$8+H9*$B$9+H10*$B$10+H11*$B$11+H12*$B$12+H13*$B$13+H14*$B$14+H15*$B$15+H16*$B$16</f>
      </c>
      <c r="I17" s="85">
        <f>I6*$B$6+I7*$B$7+I8*$B$8+I9*$B$9+I10*$B$10+I11*$B$11+I12*$B$12+I13*$B$13+I14*$B$14+I15*$B$15+I16*$B$16</f>
      </c>
      <c r="J17" s="85">
        <f>G17*$C$5+H17*$D$5+I17*$E$5</f>
        <v>76.36975</v>
      </c>
      <c r="K17" s="86">
        <f>IF(J6="","",AVERAGE(F17,J17))</f>
        <v>75.95907499999998</v>
      </c>
      <c r="L17" s="87"/>
      <c r="M17" s="80"/>
      <c r="N17" s="80"/>
      <c r="O17" s="80"/>
      <c r="P17" s="80"/>
      <c r="Q17" s="80"/>
      <c r="R17" s="80"/>
      <c r="S17" s="80"/>
      <c r="T17" s="81"/>
      <c r="U17" s="40"/>
    </row>
    <row r="18" ht="27" customHeight="1" spans="1:21" s="21" customFormat="1" x14ac:dyDescent="0.25">
      <c r="A18" s="88" t="s">
        <v>65</v>
      </c>
      <c r="B18" s="89"/>
      <c r="C18" s="90">
        <f>AVERAGE(C19:D22)+1*$R$5+3*$R$6+9*$R$7-1*$R$8-3*$R$9-9*$R$10</f>
        <v>99</v>
      </c>
      <c r="D18" s="91"/>
      <c r="E18" s="92" t="s">
        <v>66</v>
      </c>
      <c r="F18" s="93"/>
      <c r="G18" s="94">
        <f>AVERAGE(G19:H22)+1*$S$5+3*$S$6+9*$S$7-1*$S$8-3*$S$9-9*$S$10</f>
        <v>70</v>
      </c>
      <c r="H18" s="95"/>
      <c r="I18" s="96" t="s">
        <v>67</v>
      </c>
      <c r="J18" s="97"/>
      <c r="K18" s="98">
        <f>IF(J6="","",AVERAGE(C18,G18))</f>
        <v>84.5</v>
      </c>
      <c r="L18" s="99"/>
      <c r="M18" s="100"/>
      <c r="N18" s="80"/>
      <c r="O18" s="80"/>
      <c r="P18" s="80"/>
      <c r="Q18" s="80"/>
      <c r="R18" s="80"/>
      <c r="S18" s="80"/>
      <c r="T18" s="81"/>
      <c r="U18" s="40"/>
    </row>
    <row r="19" ht="27" customHeight="1" spans="1:21" x14ac:dyDescent="0.25">
      <c r="A19" s="101" t="s">
        <v>68</v>
      </c>
      <c r="B19" s="102"/>
      <c r="C19" s="103">
        <v>80</v>
      </c>
      <c r="D19" s="104"/>
      <c r="E19" s="105"/>
      <c r="F19" s="106"/>
      <c r="G19" s="107">
        <v>90</v>
      </c>
      <c r="H19" s="108"/>
      <c r="I19" s="109"/>
      <c r="J19" s="110"/>
      <c r="K19" s="111">
        <f>IF(J7="","",AVERAGE(C19,G19))</f>
        <v>85</v>
      </c>
      <c r="L19" s="112"/>
      <c r="M19" s="113" t="s">
        <v>69</v>
      </c>
      <c r="N19" s="52"/>
      <c r="O19" s="51" t="s">
        <v>70</v>
      </c>
      <c r="P19" s="114"/>
      <c r="Q19" s="51" t="s">
        <v>71</v>
      </c>
      <c r="R19" s="52"/>
      <c r="S19" s="51" t="s">
        <v>72</v>
      </c>
      <c r="T19" s="115"/>
      <c r="U19" s="40"/>
    </row>
    <row r="20" ht="27" customHeight="1" spans="1:21" x14ac:dyDescent="0.25">
      <c r="A20" s="101" t="s">
        <v>73</v>
      </c>
      <c r="B20" s="102"/>
      <c r="C20" s="103">
        <v>70</v>
      </c>
      <c r="D20" s="104"/>
      <c r="E20" s="105"/>
      <c r="F20" s="106"/>
      <c r="G20" s="107">
        <v>80</v>
      </c>
      <c r="H20" s="108"/>
      <c r="I20" s="109"/>
      <c r="J20" s="110"/>
      <c r="K20" s="111">
        <f>IF(J8="","",AVERAGE(C20,G20))</f>
        <v>75</v>
      </c>
      <c r="L20" s="112"/>
      <c r="M20" s="116"/>
      <c r="N20" s="117"/>
      <c r="O20" s="117"/>
      <c r="P20" s="117"/>
      <c r="Q20" s="117"/>
      <c r="R20" s="117"/>
      <c r="S20" s="117"/>
      <c r="T20" s="118"/>
      <c r="U20" s="40"/>
    </row>
    <row r="21" ht="27" customHeight="1" spans="1:21" x14ac:dyDescent="0.25">
      <c r="A21" s="101" t="s">
        <v>74</v>
      </c>
      <c r="B21" s="102"/>
      <c r="C21" s="103">
        <v>60</v>
      </c>
      <c r="D21" s="104"/>
      <c r="E21" s="105"/>
      <c r="F21" s="106"/>
      <c r="G21" s="107">
        <v>70</v>
      </c>
      <c r="H21" s="108"/>
      <c r="I21" s="109"/>
      <c r="J21" s="110"/>
      <c r="K21" s="111">
        <f>IF(J9="","",AVERAGE(C21,G21))</f>
        <v>65</v>
      </c>
      <c r="L21" s="112"/>
      <c r="M21" s="116"/>
      <c r="N21" s="117"/>
      <c r="O21" s="117"/>
      <c r="P21" s="117"/>
      <c r="Q21" s="117"/>
      <c r="R21" s="117"/>
      <c r="S21" s="117"/>
      <c r="T21" s="118"/>
      <c r="U21" s="40"/>
    </row>
    <row r="22" ht="27.75" customHeight="1" spans="1:21" x14ac:dyDescent="0.25">
      <c r="A22" s="119" t="s">
        <v>75</v>
      </c>
      <c r="B22" s="120"/>
      <c r="C22" s="121">
        <v>50</v>
      </c>
      <c r="D22" s="122"/>
      <c r="E22" s="123"/>
      <c r="F22" s="124"/>
      <c r="G22" s="125">
        <v>60</v>
      </c>
      <c r="H22" s="126"/>
      <c r="I22" s="127"/>
      <c r="J22" s="128"/>
      <c r="K22" s="129">
        <f>IF(J10="","",AVERAGE(C22,G22))</f>
        <v>55</v>
      </c>
      <c r="L22" s="130"/>
      <c r="M22" s="116"/>
      <c r="N22" s="117"/>
      <c r="O22" s="117"/>
      <c r="P22" s="117"/>
      <c r="Q22" s="117"/>
      <c r="R22" s="117"/>
      <c r="S22" s="117"/>
      <c r="T22" s="118"/>
      <c r="U22" s="40"/>
    </row>
    <row r="23" ht="25.5" customHeight="1" spans="1:21" x14ac:dyDescent="0.25">
      <c r="A23" s="131" t="s">
        <v>76</v>
      </c>
      <c r="B23" s="132"/>
      <c r="C23" s="133" t="s">
        <v>77</v>
      </c>
      <c r="D23" s="133"/>
      <c r="E23" s="133"/>
      <c r="F23" s="133"/>
      <c r="G23" s="133"/>
      <c r="H23" s="133"/>
      <c r="I23" s="133"/>
      <c r="J23" s="133"/>
      <c r="K23" s="133"/>
      <c r="L23" s="133"/>
      <c r="M23" s="117"/>
      <c r="N23" s="117"/>
      <c r="O23" s="117"/>
      <c r="P23" s="117"/>
      <c r="Q23" s="117"/>
      <c r="R23" s="117"/>
      <c r="S23" s="117"/>
      <c r="T23" s="118"/>
      <c r="U23" s="40"/>
    </row>
    <row r="24" ht="26.25" customHeight="1" spans="1:21" x14ac:dyDescent="0.25">
      <c r="A24" s="134"/>
      <c r="B24" s="135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17"/>
      <c r="N24" s="117"/>
      <c r="O24" s="117"/>
      <c r="P24" s="117"/>
      <c r="Q24" s="117"/>
      <c r="R24" s="117"/>
      <c r="S24" s="117"/>
      <c r="T24" s="118"/>
      <c r="U24" s="40"/>
    </row>
    <row r="25" ht="13.5" customHeight="1" spans="1:21" x14ac:dyDescent="0.25">
      <c r="A25" s="137"/>
      <c r="B25" s="138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40"/>
      <c r="N25" s="140"/>
      <c r="O25" s="140"/>
      <c r="P25" s="140"/>
      <c r="Q25" s="140"/>
      <c r="R25" s="140"/>
      <c r="S25" s="140"/>
      <c r="T25" s="141"/>
      <c r="U25" s="142"/>
    </row>
  </sheetData>
  <mergeCells count="70">
    <mergeCell ref="A1:J1"/>
    <mergeCell ref="K1:M1"/>
    <mergeCell ref="N1:O1"/>
    <mergeCell ref="P1:R1"/>
    <mergeCell ref="A2:B2"/>
    <mergeCell ref="C2:D2"/>
    <mergeCell ref="K2:M2"/>
    <mergeCell ref="N2:O2"/>
    <mergeCell ref="U1:U5"/>
    <mergeCell ref="A3:B3"/>
    <mergeCell ref="C3:F3"/>
    <mergeCell ref="G3:J3"/>
    <mergeCell ref="K3:L3"/>
    <mergeCell ref="M3:P3"/>
    <mergeCell ref="Q3:T3"/>
    <mergeCell ref="K4:L5"/>
    <mergeCell ref="A4:A5"/>
    <mergeCell ref="B4:B5"/>
    <mergeCell ref="K6:L6"/>
    <mergeCell ref="K7:L7"/>
    <mergeCell ref="U6:U25"/>
    <mergeCell ref="K8:L8"/>
    <mergeCell ref="K9:L9"/>
    <mergeCell ref="K10:L10"/>
    <mergeCell ref="K11:L11"/>
    <mergeCell ref="M11:N12"/>
    <mergeCell ref="Q11:R12"/>
    <mergeCell ref="K12:L12"/>
    <mergeCell ref="K13:L13"/>
    <mergeCell ref="M13:N13"/>
    <mergeCell ref="O13:T13"/>
    <mergeCell ref="K14:L14"/>
    <mergeCell ref="M14:N18"/>
    <mergeCell ref="O14:T18"/>
    <mergeCell ref="K15:L15"/>
    <mergeCell ref="K16:L16"/>
    <mergeCell ref="A17:B17"/>
    <mergeCell ref="K17:L17"/>
    <mergeCell ref="A18:B18"/>
    <mergeCell ref="C18:D18"/>
    <mergeCell ref="E18:F22"/>
    <mergeCell ref="G18:H18"/>
    <mergeCell ref="I18:J22"/>
    <mergeCell ref="K18:L18"/>
    <mergeCell ref="A19:B19"/>
    <mergeCell ref="C19:D19"/>
    <mergeCell ref="G19:H19"/>
    <mergeCell ref="K19:L19"/>
    <mergeCell ref="M19:N19"/>
    <mergeCell ref="O19:P19"/>
    <mergeCell ref="Q19:R19"/>
    <mergeCell ref="S19:T19"/>
    <mergeCell ref="A20:B20"/>
    <mergeCell ref="C20:D20"/>
    <mergeCell ref="G20:H20"/>
    <mergeCell ref="K20:L20"/>
    <mergeCell ref="M20:N25"/>
    <mergeCell ref="O20:P25"/>
    <mergeCell ref="Q20:R25"/>
    <mergeCell ref="S20:T25"/>
    <mergeCell ref="A21:B21"/>
    <mergeCell ref="C21:D21"/>
    <mergeCell ref="G21:H21"/>
    <mergeCell ref="K21:L21"/>
    <mergeCell ref="A22:B22"/>
    <mergeCell ref="C22:D22"/>
    <mergeCell ref="G22:H22"/>
    <mergeCell ref="K22:L22"/>
    <mergeCell ref="A23:B25"/>
    <mergeCell ref="C23:L25"/>
  </mergeCells>
  <conditionalFormatting sqref="A4">
    <cfRule type="cellIs" dxfId="0" priority="14" operator="equal">
      <formula>1</formula>
    </cfRule>
  </conditionalFormatting>
  <conditionalFormatting sqref="A6:A16">
    <cfRule type="containsText" dxfId="1" priority="15">
      <formula>NOT(ISERROR(SEARCH(("0"),(A6))))</formula>
    </cfRule>
  </conditionalFormatting>
  <conditionalFormatting sqref="B6:B16">
    <cfRule type="cellIs" dxfId="2" priority="16" operator="lessThan">
      <formula>0.01</formula>
    </cfRule>
  </conditionalFormatting>
  <conditionalFormatting sqref="F17 C5:F16">
    <cfRule type="cellIs" dxfId="3" priority="17" operator="between">
      <formula>101</formula>
      <formula>99999</formula>
    </cfRule>
  </conditionalFormatting>
  <conditionalFormatting sqref="F17 C5:F16">
    <cfRule type="cellIs" dxfId="4" priority="18" operator="lessThan">
      <formula>60</formula>
    </cfRule>
  </conditionalFormatting>
  <conditionalFormatting sqref="G5:J5">
    <cfRule type="cellIs" dxfId="5" priority="12" operator="between">
      <formula>101</formula>
      <formula>99999</formula>
    </cfRule>
  </conditionalFormatting>
  <conditionalFormatting sqref="G5:J5">
    <cfRule type="cellIs" dxfId="6" priority="13" operator="lessThan">
      <formula>60</formula>
    </cfRule>
  </conditionalFormatting>
  <conditionalFormatting sqref="C17:E17">
    <cfRule type="cellIs" dxfId="7" priority="10" operator="between">
      <formula>101</formula>
      <formula>99999</formula>
    </cfRule>
  </conditionalFormatting>
  <conditionalFormatting sqref="C17:E17">
    <cfRule type="cellIs" dxfId="8" priority="11" operator="lessThan">
      <formula>60</formula>
    </cfRule>
  </conditionalFormatting>
  <conditionalFormatting sqref="C18:C22">
    <cfRule type="cellIs" dxfId="9" priority="8" operator="between">
      <formula>101</formula>
      <formula>99999</formula>
    </cfRule>
  </conditionalFormatting>
  <conditionalFormatting sqref="C18:C22">
    <cfRule type="cellIs" dxfId="10" priority="9" operator="lessThan">
      <formula>60</formula>
    </cfRule>
  </conditionalFormatting>
  <conditionalFormatting sqref="B4">
    <cfRule type="cellIs" dxfId="11" priority="7" operator="equal">
      <formula>1</formula>
    </cfRule>
  </conditionalFormatting>
  <dataValidations count="1">
    <dataValidation type="date" allowBlank="1" showInputMessage="1" prompt="公元日期" showErrorMessage="1" sqref="U6">
      <formula1>43101</formula1>
      <formula2>58806</formula2>
    </dataValidation>
  </dataValidations>
  <printOptions horizontalCentered="1" verticalCentered="1"/>
  <pageMargins left="0" right="0" top="0" bottom="0" header="0" footer="0"/>
  <pageSetup paperSize="9" orientation="landscape" horizontalDpi="4294967295" verticalDpi="4294967295" scale="70" fitToWidth="1" fitToHeight="0" firstPageNumber="1" useFirstPageNumber="1" copies="1"/>
  <headerFooter>
    <oddFooter>&amp;R000000&amp;T  &amp;D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workbookViewId="0" showGridLines="0" zoomScale="40" zoomScaleNormal="40">
      <selection activeCell="C8" sqref="C8"/>
    </sheetView>
  </sheetViews>
  <sheetFormatPr defaultRowHeight="38.25" outlineLevelRow="0" outlineLevelCol="0" x14ac:dyDescent="0" defaultColWidth="10.140625" customHeight="1"/>
  <cols>
    <col min="1" max="1" width="31.85546875" style="1" customWidth="1"/>
    <col min="2" max="2" width="58.85546875" style="1" customWidth="1"/>
    <col min="3" max="3" width="103.7109375" style="2" customWidth="1"/>
    <col min="4" max="4" width="109.42578125" style="1" customWidth="1"/>
    <col min="5" max="16384" width="10.140625" style="1" customWidth="1"/>
  </cols>
  <sheetData>
    <row r="1" ht="82.5" customHeight="1" spans="1:4" x14ac:dyDescent="0.25">
      <c r="A1" s="3" t="s">
        <v>0</v>
      </c>
      <c r="B1" s="4"/>
      <c r="C1" s="5" t="s">
        <v>1</v>
      </c>
      <c r="D1" s="6"/>
    </row>
    <row r="2" ht="123.75" customHeight="1" spans="1:4" x14ac:dyDescent="0.25">
      <c r="A2" s="7" t="s">
        <v>2</v>
      </c>
      <c r="B2" s="8"/>
      <c r="C2" s="5"/>
      <c r="D2" s="6"/>
    </row>
    <row r="3" ht="33" customHeight="1" spans="1:4" x14ac:dyDescent="0.25">
      <c r="A3" s="6"/>
      <c r="B3" s="9"/>
      <c r="D3" s="10" t="s">
        <v>3</v>
      </c>
    </row>
    <row r="4" ht="288" customHeight="1" spans="1:13" x14ac:dyDescent="0.25">
      <c r="A4" s="6"/>
      <c r="B4" s="9"/>
      <c r="C4" s="5" t="s">
        <v>4</v>
      </c>
      <c r="D4" s="10"/>
      <c r="M4" s="1" t="s">
        <v>5</v>
      </c>
    </row>
    <row r="5" ht="33" customHeight="1" spans="1:4" x14ac:dyDescent="0.25">
      <c r="A5" s="6"/>
      <c r="B5" s="9"/>
      <c r="C5" s="11"/>
      <c r="D5" s="10"/>
    </row>
    <row r="6" ht="82.5" customHeight="1" spans="1:4" x14ac:dyDescent="0.25">
      <c r="A6" s="7"/>
      <c r="B6" s="8"/>
      <c r="C6" s="12" t="s">
        <v>6</v>
      </c>
      <c r="D6" s="10"/>
    </row>
    <row r="7" ht="98.25" customHeight="1" spans="1:4" x14ac:dyDescent="0.25">
      <c r="A7" s="13" t="s">
        <v>7</v>
      </c>
      <c r="B7" s="14" t="s">
        <v>8</v>
      </c>
      <c r="C7" s="12"/>
      <c r="D7" s="15"/>
    </row>
    <row r="8" ht="98.25" customHeight="1" spans="1:4" x14ac:dyDescent="0.25">
      <c r="A8" s="13" t="s">
        <v>9</v>
      </c>
      <c r="B8" s="14" t="s">
        <v>10</v>
      </c>
      <c r="C8" s="16" t="s">
        <v>11</v>
      </c>
      <c r="D8" s="15"/>
    </row>
    <row r="9" ht="98.25" customHeight="1" spans="1:4" x14ac:dyDescent="0.25">
      <c r="A9" s="13" t="s">
        <v>12</v>
      </c>
      <c r="B9" s="14" t="s">
        <v>13</v>
      </c>
      <c r="C9" s="16"/>
      <c r="D9" s="17"/>
    </row>
    <row r="10" ht="98.25" customHeight="1" spans="1:4" x14ac:dyDescent="0.25">
      <c r="A10" s="13" t="s">
        <v>14</v>
      </c>
      <c r="B10" s="14">
        <v>2862</v>
      </c>
      <c r="C10" s="16"/>
      <c r="D10" s="17"/>
    </row>
    <row r="11" spans="1:4" x14ac:dyDescent="0.25">
      <c r="A11" s="18"/>
      <c r="B11" s="18"/>
      <c r="C11" s="19"/>
      <c r="D11" s="20"/>
    </row>
  </sheetData>
  <sheetProtection selectLockedCells="1"/>
  <mergeCells count="6">
    <mergeCell ref="A1:B1"/>
    <mergeCell ref="A2:B2"/>
    <mergeCell ref="C1:C2"/>
    <mergeCell ref="D3:D6"/>
    <mergeCell ref="C6:C7"/>
    <mergeCell ref="C8:C10"/>
  </mergeCells>
  <printOptions horizontalCentered="1" verticalCentered="1"/>
  <pageMargins left="0" right="0" top="0" bottom="0" header="0.1968503937007874" footer="0.1968503937007874"/>
  <pageSetup paperSize="9" orientation="landscape" horizontalDpi="4294967295" verticalDpi="4294967295" pageOrder="overThenDown" scale="49" fitToWidth="1" fitToHeight="0" firstPageNumber="1" useFirstPageNumber="1" copies="1"/>
  <headerFooter>
    <oddHeader>&amp;C&amp;G</oddHeader>
    <oddFooter>&amp;R&amp;"Angsana New,ธรรมดา"&amp;9&amp;T  &amp;D   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成績外</vt:lpstr>
      <vt:lpstr>成績內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huayun</dc:creator>
  <cp:lastModifiedBy>GIGABYTE</cp:lastModifiedBy>
  <cp:lastPrinted>2026-08-30T03:00:51Z</cp:lastPrinted>
  <dcterms:created xsi:type="dcterms:W3CDTF">2026-08-14T09:44:21Z</dcterms:created>
  <dcterms:modified xsi:type="dcterms:W3CDTF">2026-08-30T03:01:08Z</dcterms:modified>
</cp:coreProperties>
</file>